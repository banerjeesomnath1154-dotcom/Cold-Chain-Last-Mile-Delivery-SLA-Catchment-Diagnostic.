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tore Performance Break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₹#,##0.00"/>
    <numFmt numFmtId="165" formatCode="0.0"/>
    <numFmt numFmtId="166" formatCode="0.0%"/>
  </numFmts>
  <fonts count="6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1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4A90E2"/>
        <bgColor rgb="004A90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3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3" fillId="3" borderId="0" applyAlignment="1" pivotButton="0" quotePrefix="0" xfId="0">
      <alignment horizontal="center"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sheetData>
    <row r="1">
      <c r="A1" s="1" t="inlineStr">
        <is>
          <t>DARK STORE COLD-CHAIN &amp; SLA RECONCILIATION MODEL</t>
        </is>
      </c>
    </row>
    <row r="2">
      <c r="A2" s="2" t="inlineStr">
        <is>
          <t>Automated Audit Reconciliation: Raw Order Logs vs. Store Aggregate KPI Summary</t>
        </is>
      </c>
    </row>
    <row r="5">
      <c r="A5" s="3" t="inlineStr">
        <is>
          <t>Metric Description</t>
        </is>
      </c>
      <c r="B5" s="3" t="inlineStr">
        <is>
          <t>Raw Log Total</t>
        </is>
      </c>
      <c r="C5" s="3" t="inlineStr">
        <is>
          <t>SQL Aggregated Total</t>
        </is>
      </c>
      <c r="D5" s="3" t="inlineStr">
        <is>
          <t>Variance Check</t>
        </is>
      </c>
      <c r="E5" s="3" t="inlineStr">
        <is>
          <t>Audit Status</t>
        </is>
      </c>
    </row>
    <row r="6">
      <c r="A6" s="4" t="inlineStr">
        <is>
          <t>Total Completed Orders</t>
        </is>
      </c>
      <c r="B6" s="5" t="n">
        <v>1000</v>
      </c>
      <c r="C6" s="5" t="n">
        <v>1000</v>
      </c>
      <c r="D6" s="6" t="n">
        <v>0</v>
      </c>
      <c r="E6" s="7">
        <f>IF(D6=0, "VERIFIED MATCH", "FLAG VARIANCE")</f>
        <v/>
      </c>
    </row>
    <row r="7">
      <c r="A7" s="4" t="inlineStr">
        <is>
          <t>Gross Revenue (INR)</t>
        </is>
      </c>
      <c r="B7" s="8" t="n">
        <v>1040056.69</v>
      </c>
      <c r="C7" s="8" t="n">
        <v>1040056.69</v>
      </c>
      <c r="D7" s="9" t="n">
        <v>0</v>
      </c>
      <c r="E7" s="7">
        <f>IF(ROUND(D7,2)=0, "VERIFIED MATCH", "FLAG VARIANCE")</f>
        <v/>
      </c>
    </row>
    <row r="8">
      <c r="A8" s="4" t="inlineStr">
        <is>
          <t>Thermal Spoilage Loss (INR)</t>
        </is>
      </c>
      <c r="B8" s="8" t="n">
        <v>48486.62</v>
      </c>
      <c r="C8" s="8" t="n">
        <v>48486.62</v>
      </c>
      <c r="D8" s="9" t="n">
        <v>0</v>
      </c>
      <c r="E8" s="7">
        <f>IF(ROUND(D8,2)=0, "VERIFIED MATCH", "FLAG VARIANCE")</f>
        <v/>
      </c>
    </row>
    <row r="9">
      <c r="A9" s="4" t="inlineStr">
        <is>
          <t>Net Deliverable Revenue (INR)</t>
        </is>
      </c>
      <c r="B9" s="8" t="n">
        <v>991570.0699999999</v>
      </c>
      <c r="C9" s="8" t="n">
        <v>991570.0699999999</v>
      </c>
      <c r="D9" s="9" t="n">
        <v>0</v>
      </c>
      <c r="E9" s="7">
        <f>IF(ROUND(D9,2)=0, "VERIFIED MATCH", "FLAG VARIANCE")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1" workbookViewId="0">
      <selection activeCell="A1" sqref="A1"/>
    </sheetView>
  </sheetViews>
  <sheetFormatPr baseColWidth="8" defaultRowHeight="15"/>
  <sheetData>
    <row r="1">
      <c r="A1" s="10" t="inlineStr">
        <is>
          <t>City</t>
        </is>
      </c>
      <c r="B1" s="10" t="inlineStr">
        <is>
          <t>Zone</t>
        </is>
      </c>
      <c r="C1" s="10" t="inlineStr">
        <is>
          <t>Store ID</t>
        </is>
      </c>
      <c r="D1" s="10" t="inlineStr">
        <is>
          <t>Fleet Type</t>
        </is>
      </c>
      <c r="E1" s="10" t="inlineStr">
        <is>
          <t>Total Orders</t>
        </is>
      </c>
      <c r="F1" s="10" t="inlineStr">
        <is>
          <t>Gross Rev (INR)</t>
        </is>
      </c>
      <c r="G1" s="10" t="inlineStr">
        <is>
          <t>Spoilage Loss (INR)</t>
        </is>
      </c>
      <c r="H1" s="10" t="inlineStr">
        <is>
          <t>Net Rev (INR)</t>
        </is>
      </c>
      <c r="I1" s="10" t="inlineStr">
        <is>
          <t>Avg Delivery (min)</t>
        </is>
      </c>
      <c r="J1" s="10" t="inlineStr">
        <is>
          <t>SLA Breach Count</t>
        </is>
      </c>
      <c r="K1" s="10" t="inlineStr">
        <is>
          <t>SLA Compliance %</t>
        </is>
      </c>
    </row>
    <row r="2">
      <c r="A2" s="4" t="inlineStr">
        <is>
          <t>Bengaluru</t>
        </is>
      </c>
      <c r="B2" s="4" t="inlineStr">
        <is>
          <t>Indiranagar</t>
        </is>
      </c>
      <c r="C2" s="4" t="inlineStr">
        <is>
          <t>DS_BLR_02</t>
        </is>
      </c>
      <c r="D2" s="4" t="inlineStr">
        <is>
          <t>EV Refrig Bike</t>
        </is>
      </c>
      <c r="E2" s="11" t="n">
        <v>121</v>
      </c>
      <c r="F2" s="12" t="n">
        <v>130672.68</v>
      </c>
      <c r="G2" s="12" t="n">
        <v>0</v>
      </c>
      <c r="H2" s="12" t="n">
        <v>130672.68</v>
      </c>
      <c r="I2" s="13" t="n">
        <v>13.70495867768595</v>
      </c>
      <c r="J2" s="11" t="n">
        <v>64</v>
      </c>
      <c r="K2" s="14" t="n">
        <v>0.4711</v>
      </c>
    </row>
    <row r="3">
      <c r="A3" s="4" t="inlineStr">
        <is>
          <t>Bengaluru</t>
        </is>
      </c>
      <c r="B3" s="4" t="inlineStr">
        <is>
          <t>Koramangala</t>
        </is>
      </c>
      <c r="C3" s="4" t="inlineStr">
        <is>
          <t>DS_BLR_01</t>
        </is>
      </c>
      <c r="D3" s="4" t="inlineStr">
        <is>
          <t>EV Refrig Bike</t>
        </is>
      </c>
      <c r="E3" s="11" t="n">
        <v>136</v>
      </c>
      <c r="F3" s="12" t="n">
        <v>136792.71</v>
      </c>
      <c r="G3" s="12" t="n">
        <v>0</v>
      </c>
      <c r="H3" s="12" t="n">
        <v>136792.71</v>
      </c>
      <c r="I3" s="13" t="n">
        <v>13.34117647058824</v>
      </c>
      <c r="J3" s="11" t="n">
        <v>68</v>
      </c>
      <c r="K3" s="14" t="n">
        <v>0.5</v>
      </c>
    </row>
    <row r="4">
      <c r="A4" s="4" t="inlineStr">
        <is>
          <t>Bengaluru</t>
        </is>
      </c>
      <c r="B4" s="4" t="inlineStr">
        <is>
          <t>Whitefield</t>
        </is>
      </c>
      <c r="C4" s="4" t="inlineStr">
        <is>
          <t>DS_BLR_03</t>
        </is>
      </c>
      <c r="D4" s="4" t="inlineStr">
        <is>
          <t>Standard Bike</t>
        </is>
      </c>
      <c r="E4" s="11" t="n">
        <v>111</v>
      </c>
      <c r="F4" s="12" t="n">
        <v>120487.29</v>
      </c>
      <c r="G4" s="12" t="n">
        <v>13810.33</v>
      </c>
      <c r="H4" s="12" t="n">
        <v>106676.96</v>
      </c>
      <c r="I4" s="13" t="n">
        <v>13.9963963963964</v>
      </c>
      <c r="J4" s="11" t="n">
        <v>63</v>
      </c>
      <c r="K4" s="14" t="n">
        <v>0.4324</v>
      </c>
    </row>
    <row r="5">
      <c r="A5" s="4" t="inlineStr">
        <is>
          <t>Delhi-NCR</t>
        </is>
      </c>
      <c r="B5" s="4" t="inlineStr">
        <is>
          <t>Gurugram Cyber City</t>
        </is>
      </c>
      <c r="C5" s="4" t="inlineStr">
        <is>
          <t>DS_DEL_01</t>
        </is>
      </c>
      <c r="D5" s="4" t="inlineStr">
        <is>
          <t>EV Refrig Bike</t>
        </is>
      </c>
      <c r="E5" s="11" t="n">
        <v>120</v>
      </c>
      <c r="F5" s="12" t="n">
        <v>121273.81</v>
      </c>
      <c r="G5" s="12" t="n">
        <v>0</v>
      </c>
      <c r="H5" s="12" t="n">
        <v>121273.81</v>
      </c>
      <c r="I5" s="13" t="n">
        <v>13.87</v>
      </c>
      <c r="J5" s="11" t="n">
        <v>67</v>
      </c>
      <c r="K5" s="14" t="n">
        <v>0.4417</v>
      </c>
    </row>
    <row r="6">
      <c r="A6" s="4" t="inlineStr">
        <is>
          <t>Delhi-NCR</t>
        </is>
      </c>
      <c r="B6" s="4" t="inlineStr">
        <is>
          <t>Noida Sector 62</t>
        </is>
      </c>
      <c r="C6" s="4" t="inlineStr">
        <is>
          <t>DS_DEL_02</t>
        </is>
      </c>
      <c r="D6" s="4" t="inlineStr">
        <is>
          <t>Standard Bike</t>
        </is>
      </c>
      <c r="E6" s="11" t="n">
        <v>122</v>
      </c>
      <c r="F6" s="12" t="n">
        <v>123596.05</v>
      </c>
      <c r="G6" s="12" t="n">
        <v>17627.86</v>
      </c>
      <c r="H6" s="12" t="n">
        <v>105968.19</v>
      </c>
      <c r="I6" s="13" t="n">
        <v>14.04180327868852</v>
      </c>
      <c r="J6" s="11" t="n">
        <v>75</v>
      </c>
      <c r="K6" s="14" t="n">
        <v>0.3852</v>
      </c>
    </row>
    <row r="7">
      <c r="A7" s="4" t="inlineStr">
        <is>
          <t>Hyderabad</t>
        </is>
      </c>
      <c r="B7" s="4" t="inlineStr">
        <is>
          <t>Hitech City</t>
        </is>
      </c>
      <c r="C7" s="4" t="inlineStr">
        <is>
          <t>DS_HYD_01</t>
        </is>
      </c>
      <c r="D7" s="4" t="inlineStr">
        <is>
          <t>EV Refrig Bike</t>
        </is>
      </c>
      <c r="E7" s="11" t="n">
        <v>131</v>
      </c>
      <c r="F7" s="12" t="n">
        <v>135358.25</v>
      </c>
      <c r="G7" s="12" t="n">
        <v>0</v>
      </c>
      <c r="H7" s="12" t="n">
        <v>135358.25</v>
      </c>
      <c r="I7" s="13" t="n">
        <v>13.8969465648855</v>
      </c>
      <c r="J7" s="11" t="n">
        <v>71</v>
      </c>
      <c r="K7" s="14" t="n">
        <v>0.458</v>
      </c>
    </row>
    <row r="8">
      <c r="A8" s="4" t="inlineStr">
        <is>
          <t>Mumbai</t>
        </is>
      </c>
      <c r="B8" s="4" t="inlineStr">
        <is>
          <t>Andheri East</t>
        </is>
      </c>
      <c r="C8" s="4" t="inlineStr">
        <is>
          <t>DS_MUM_02</t>
        </is>
      </c>
      <c r="D8" s="4" t="inlineStr">
        <is>
          <t>Standard Bike</t>
        </is>
      </c>
      <c r="E8" s="11" t="n">
        <v>131</v>
      </c>
      <c r="F8" s="12" t="n">
        <v>136550.75</v>
      </c>
      <c r="G8" s="12" t="n">
        <v>17048.43</v>
      </c>
      <c r="H8" s="12" t="n">
        <v>119502.32</v>
      </c>
      <c r="I8" s="13" t="n">
        <v>14.5824427480916</v>
      </c>
      <c r="J8" s="11" t="n">
        <v>79</v>
      </c>
      <c r="K8" s="14" t="n">
        <v>0.3969</v>
      </c>
    </row>
    <row r="9">
      <c r="A9" s="4" t="inlineStr">
        <is>
          <t>Mumbai</t>
        </is>
      </c>
      <c r="B9" s="4" t="inlineStr">
        <is>
          <t>Bandra West</t>
        </is>
      </c>
      <c r="C9" s="4" t="inlineStr">
        <is>
          <t>DS_MUM_01</t>
        </is>
      </c>
      <c r="D9" s="4" t="inlineStr">
        <is>
          <t>EV Refrig Bike</t>
        </is>
      </c>
      <c r="E9" s="11" t="n">
        <v>128</v>
      </c>
      <c r="F9" s="12" t="n">
        <v>135325.15</v>
      </c>
      <c r="G9" s="12" t="n">
        <v>0</v>
      </c>
      <c r="H9" s="12" t="n">
        <v>135325.15</v>
      </c>
      <c r="I9" s="13" t="n">
        <v>14.025</v>
      </c>
      <c r="J9" s="11" t="n">
        <v>76</v>
      </c>
      <c r="K9" s="14" t="n">
        <v>0.4061999999999999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2026-10-04T13:46:47Z</dcterms:created>
  <dcterms:modified xmlns:dcterms="http://purl.org/dc/terms/" xmlns:xsi="http://www.w3.org/2001/XMLSchema-instance" xsi:type="dcterms:W3CDTF">2026-10-04T13:46:47Z</dcterms:modified>
</cp:coreProperties>
</file>